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Read me" sheetId="1" state="visible" r:id="rId1"/>
    <sheet xmlns:r="http://schemas.openxmlformats.org/officeDocument/2006/relationships" name="Positions" sheetId="2" state="visible" r:id="rId2"/>
    <sheet xmlns:r="http://schemas.openxmlformats.org/officeDocument/2006/relationships" name="What you get back" sheetId="3" state="visible" r:id="rId3"/>
    <sheet xmlns:r="http://schemas.openxmlformats.org/officeDocument/2006/relationships" name="You" sheetId="4" state="visible" r:id="rId4"/>
    <sheet xmlns:r="http://schemas.openxmlformats.org/officeDocument/2006/relationships" name="Balances" sheetId="5" state="visible" r:id="rId5"/>
    <sheet xmlns:r="http://schemas.openxmlformats.org/officeDocument/2006/relationships" name="Property" sheetId="6" state="visible" r:id="rId6"/>
    <sheet xmlns:r="http://schemas.openxmlformats.org/officeDocument/2006/relationships" name="Cashflows" sheetId="7" state="visible" r:id="rId7"/>
    <sheet xmlns:r="http://schemas.openxmlformats.org/officeDocument/2006/relationships" name="Event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quot;($&quot;#,##0\);\-"/>
    <numFmt numFmtId="165" formatCode="0.0%"/>
    <numFmt numFmtId="166" formatCode="0.00\x"/>
    <numFmt numFmtId="167" formatCode="$#,##0"/>
    <numFmt numFmtId="168" formatCode="$#,##0;($#,##0)"/>
  </numFmts>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20"/>
    </font>
    <font>
      <name val="Arial"/>
      <charset val="1"/>
      <family val="0"/>
      <color rgb="FF595959"/>
      <sz val="11"/>
    </font>
    <font>
      <name val="Arial"/>
      <charset val="1"/>
      <family val="0"/>
      <b val="1"/>
      <color rgb="FF1F3864"/>
      <sz val="13"/>
    </font>
    <font>
      <name val="Arial"/>
      <charset val="1"/>
      <family val="0"/>
      <color rgb="FF222222"/>
      <sz val="11"/>
    </font>
    <font>
      <name val="Arial"/>
      <charset val="1"/>
      <family val="0"/>
      <b val="1"/>
      <color rgb="FF9C4A1A"/>
      <sz val="11"/>
    </font>
    <font>
      <name val="Arial"/>
      <charset val="1"/>
      <family val="0"/>
      <color rgb="FF595959"/>
      <sz val="10"/>
    </font>
    <font>
      <name val="Arial"/>
      <charset val="1"/>
      <family val="0"/>
      <b val="1"/>
      <color rgb="FF1F3864"/>
      <sz val="9"/>
    </font>
    <font>
      <name val="Arial"/>
      <charset val="1"/>
      <family val="0"/>
      <color rgb="FF0000FF"/>
      <sz val="10"/>
    </font>
    <font>
      <name val="Arial"/>
      <charset val="1"/>
      <family val="0"/>
      <color rgb="FF222222"/>
      <sz val="10"/>
    </font>
    <font>
      <name val="Arial"/>
      <charset val="1"/>
      <family val="0"/>
      <b val="1"/>
      <color rgb="FF222222"/>
      <sz val="10"/>
    </font>
    <font>
      <name val="Arial"/>
      <charset val="1"/>
      <family val="0"/>
      <i val="1"/>
      <color rgb="FF595959"/>
      <sz val="9"/>
    </font>
    <font>
      <name val="Arial"/>
      <family val="2"/>
      <sz val="10"/>
    </font>
    <font>
      <name val="Arial"/>
      <charset val="1"/>
      <family val="0"/>
      <b val="1"/>
      <color rgb="FF1F3864"/>
      <sz val="16"/>
    </font>
    <font>
      <name val="Arial"/>
      <charset val="1"/>
      <family val="0"/>
      <b val="1"/>
      <color rgb="FF1F3864"/>
      <sz val="11"/>
    </font>
    <font>
      <name val="Arial"/>
      <sz val="10"/>
    </font>
    <font>
      <name val="Arial"/>
      <b val="1"/>
      <sz val="11"/>
    </font>
    <font>
      <name val="Arial"/>
      <b val="1"/>
      <color rgb="00FFFFFF"/>
      <sz val="10"/>
    </font>
    <font>
      <name val="Arial"/>
      <i val="1"/>
      <color rgb="006B7A8C"/>
      <sz val="9"/>
    </font>
  </fonts>
  <fills count="6">
    <fill>
      <patternFill/>
    </fill>
    <fill>
      <patternFill patternType="gray125"/>
    </fill>
    <fill>
      <patternFill patternType="solid">
        <fgColor rgb="FFFFF2CC"/>
        <bgColor rgb="FFFFFFFF"/>
      </patternFill>
    </fill>
    <fill>
      <patternFill patternType="solid">
        <fgColor rgb="FFD9E2F3"/>
        <bgColor rgb="FFCCFFFF"/>
      </patternFill>
    </fill>
    <fill>
      <patternFill patternType="solid">
        <fgColor rgb="00FFF9DB"/>
      </patternFill>
    </fill>
    <fill>
      <patternFill patternType="solid">
        <fgColor rgb="001F3864"/>
      </patternFill>
    </fill>
  </fills>
  <borders count="3">
    <border>
      <left/>
      <right/>
      <top/>
      <bottom/>
      <diagonal/>
    </border>
    <border>
      <left style="thin">
        <color rgb="FFBFC9D6"/>
      </left>
      <right style="thin">
        <color rgb="FFBFC9D6"/>
      </right>
      <top style="thin">
        <color rgb="FFBFC9D6"/>
      </top>
      <bottom style="thin">
        <color rgb="FFBFC9D6"/>
      </bottom>
      <diagonal/>
    </border>
    <border>
      <left/>
      <right/>
      <top style="thin">
        <color rgb="FF7F7F7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2" borderId="0"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0" applyAlignment="1" pivotButton="0" quotePrefix="0" xfId="0">
      <alignment horizontal="general" vertical="bottom"/>
    </xf>
    <xf numFmtId="0" fontId="10" fillId="3" borderId="1" applyAlignment="1" pivotButton="0" quotePrefix="0" xfId="0">
      <alignment horizontal="center" vertical="bottom" wrapText="1"/>
    </xf>
    <xf numFmtId="0" fontId="11" fillId="2" borderId="1" applyAlignment="1" pivotButton="0" quotePrefix="0" xfId="0">
      <alignment horizontal="general" vertical="bottom"/>
    </xf>
    <xf numFmtId="164" fontId="11" fillId="2" borderId="1" applyAlignment="1" pivotButton="0" quotePrefix="0" xfId="0">
      <alignment horizontal="general" vertical="bottom"/>
    </xf>
    <xf numFmtId="164" fontId="12" fillId="2" borderId="1" applyAlignment="1" pivotButton="0" quotePrefix="0" xfId="0">
      <alignment horizontal="general" vertical="bottom"/>
    </xf>
    <xf numFmtId="1" fontId="11" fillId="2" borderId="1" applyAlignment="1" pivotButton="0" quotePrefix="0" xfId="0">
      <alignment horizontal="general" vertical="bottom"/>
    </xf>
    <xf numFmtId="165" fontId="11" fillId="2" borderId="1" applyAlignment="1" pivotButton="0" quotePrefix="0" xfId="0">
      <alignment horizontal="general" vertical="bottom"/>
    </xf>
    <xf numFmtId="166" fontId="11" fillId="2" borderId="1" applyAlignment="1" pivotButton="0" quotePrefix="0" xfId="0">
      <alignment horizontal="general" vertical="bottom"/>
    </xf>
    <xf numFmtId="1" fontId="12" fillId="0" borderId="1" applyAlignment="1" pivotButton="0" quotePrefix="0" xfId="0">
      <alignment horizontal="center" vertical="bottom"/>
    </xf>
    <xf numFmtId="0" fontId="11" fillId="2" borderId="1" applyAlignment="1" pivotButton="0" quotePrefix="0" xfId="0">
      <alignment horizontal="center" vertical="bottom"/>
    </xf>
    <xf numFmtId="0" fontId="13" fillId="0" borderId="2" applyAlignment="1" pivotButton="0" quotePrefix="0" xfId="0">
      <alignment horizontal="general" vertical="bottom"/>
    </xf>
    <xf numFmtId="164" fontId="13" fillId="0" borderId="2" applyAlignment="1" pivotButton="0" quotePrefix="0" xfId="0">
      <alignment horizontal="general" vertical="bottom"/>
    </xf>
    <xf numFmtId="0" fontId="14" fillId="0" borderId="0"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2" borderId="0"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0" applyAlignment="1" pivotButton="0" quotePrefix="0" xfId="0">
      <alignment horizontal="general" vertical="bottom"/>
    </xf>
    <xf numFmtId="0" fontId="10" fillId="3" borderId="1" applyAlignment="1" pivotButton="0" quotePrefix="0" xfId="0">
      <alignment horizontal="center" vertical="bottom" wrapText="1"/>
    </xf>
    <xf numFmtId="0" fontId="10" fillId="3" borderId="1" applyAlignment="1" pivotButton="0" quotePrefix="0" xfId="0">
      <alignment horizontal="center" vertical="bottom" wrapText="1"/>
    </xf>
    <xf numFmtId="0" fontId="11" fillId="2" borderId="1" applyAlignment="1" pivotButton="0" quotePrefix="0" xfId="0">
      <alignment horizontal="general" vertical="bottom"/>
    </xf>
    <xf numFmtId="164" fontId="11" fillId="2" borderId="1" applyAlignment="1" pivotButton="0" quotePrefix="0" xfId="0">
      <alignment horizontal="general" vertical="bottom"/>
    </xf>
    <xf numFmtId="164" fontId="12" fillId="2" borderId="1" applyAlignment="1" pivotButton="0" quotePrefix="0" xfId="0">
      <alignment horizontal="general" vertical="bottom"/>
    </xf>
    <xf numFmtId="1" fontId="11" fillId="2" borderId="1" applyAlignment="1" pivotButton="0" quotePrefix="0" xfId="0">
      <alignment horizontal="general" vertical="bottom"/>
    </xf>
    <xf numFmtId="165" fontId="11" fillId="2" borderId="1" applyAlignment="1" pivotButton="0" quotePrefix="0" xfId="0">
      <alignment horizontal="general" vertical="bottom"/>
    </xf>
    <xf numFmtId="166" fontId="11" fillId="2" borderId="1" applyAlignment="1" pivotButton="0" quotePrefix="0" xfId="0">
      <alignment horizontal="general" vertical="bottom"/>
    </xf>
    <xf numFmtId="1" fontId="12" fillId="0" borderId="1" applyAlignment="1" pivotButton="0" quotePrefix="0" xfId="0">
      <alignment horizontal="center" vertical="bottom"/>
    </xf>
    <xf numFmtId="0" fontId="11" fillId="2" borderId="1" applyAlignment="1" pivotButton="0" quotePrefix="0" xfId="0">
      <alignment horizontal="center" vertical="bottom"/>
    </xf>
    <xf numFmtId="1" fontId="11" fillId="2" borderId="1" applyAlignment="1" pivotButton="0" quotePrefix="0" xfId="0">
      <alignment horizontal="general" vertical="bottom"/>
    </xf>
    <xf numFmtId="0" fontId="13" fillId="0" borderId="2" applyAlignment="1" pivotButton="0" quotePrefix="0" xfId="0">
      <alignment horizontal="general" vertical="bottom"/>
    </xf>
    <xf numFmtId="164" fontId="13" fillId="0" borderId="2" applyAlignment="1" pivotButton="0" quotePrefix="0" xfId="0">
      <alignment horizontal="general" vertical="bottom"/>
    </xf>
    <xf numFmtId="0" fontId="14" fillId="0" borderId="0"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bottom"/>
    </xf>
    <xf numFmtId="0" fontId="19" fillId="0" borderId="0" pivotButton="0" quotePrefix="0" xfId="0"/>
    <xf numFmtId="0" fontId="18" fillId="0" borderId="0" pivotButton="0" quotePrefix="0" xfId="0"/>
    <xf numFmtId="0" fontId="18" fillId="4" borderId="0" pivotButton="0" quotePrefix="0" xfId="0"/>
    <xf numFmtId="0" fontId="20" fillId="5" borderId="0" applyAlignment="1" pivotButton="0" quotePrefix="0" xfId="0">
      <alignment vertical="center" wrapText="1"/>
    </xf>
    <xf numFmtId="0" fontId="21" fillId="0" borderId="0" pivotButton="0" quotePrefix="0" xfId="0"/>
    <xf numFmtId="167" fontId="18" fillId="4" borderId="0" pivotButton="0" quotePrefix="0" xfId="0"/>
    <xf numFmtId="165" fontId="18" fillId="4" borderId="0" pivotButton="0" quotePrefix="0" xfId="0"/>
    <xf numFmtId="168" fontId="18" fillId="4" borderId="0" pivotButton="0" quotePrefix="0" xfId="0"/>
    <xf numFmtId="49" fontId="11" fillId="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6"/>
      <rgbColor rgb="FF7F7F7F"/>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4A1A"/>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Exit Timing Calendar</author>
  </authors>
  <commentList>
    <comment ref="A2" authorId="0" shapeId="0">
      <text>
        <t>What you call it. Anything you recognise.</t>
      </text>
    </comment>
    <comment ref="C2" authorId="0" shapeId="0">
      <text>
        <t>Venture or Income. Income means it pays a contractual coupon.</t>
      </text>
    </comment>
    <comment ref="D2" authorId="0" shapeId="0">
      <text>
        <t>VC, Real Estate, Private Equity, Private Credit.</t>
      </text>
    </comment>
    <comment ref="E2" authorId="0" shapeId="0">
      <text>
        <t>The FULL amount you signed up for. This is the basis for the exit, not what you have funded.</t>
      </text>
    </comment>
    <comment ref="F2" authorId="0" shapeId="0">
      <text>
        <t>Cash actually in so far.</t>
      </text>
    </comment>
    <comment ref="G2" authorId="0" shapeId="0">
      <text>
        <t>Commitment less funded. This is a binding obligation and shows on the calendar as money going OUT.</t>
      </text>
    </comment>
    <comment ref="H2" authorId="0" shapeId="0">
      <text>
        <t>The year you first funded it.</t>
      </text>
    </comment>
    <comment ref="I2" authorId="0" shapeId="0">
      <text>
        <t>Stated fund life or hold period. 10 is typical for venture.</t>
      </text>
    </comment>
    <comment ref="J2" authorId="0" shapeId="0">
      <text>
        <t>Preferred return or credit coupon, as a percentage. Leave blank for venture.</t>
      </text>
    </comment>
    <comment ref="K2" authorId="0" shapeId="0">
      <text>
        <t>The multiple the sponsor projects. This goes in the WINNER branch, not the expected case.</t>
      </text>
    </comment>
    <comment ref="L2" authorId="0" shapeId="0">
      <text>
        <t>Low, Medium or High. Shifts the probabilities, not the multiple.</t>
      </text>
    </comment>
    <comment ref="M2" authorId="0" shapeId="0">
      <text>
        <t>Derived. Override it if you know better.</t>
      </text>
    </comment>
    <comment ref="N2" authorId="0" shapeId="0">
      <text>
        <t>Derived from year funded plus hold.</t>
      </text>
    </comment>
    <comment ref="O2" authorId="0" shapeId="0">
      <text>
        <t>Derived. Funds extend, so this is later than the stated term.</t>
      </text>
    </comment>
    <comment ref="P2" authorId="0" shapeId="0">
      <text>
        <t>Optional. If you put a year here it wins over the derived one.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5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453125" defaultRowHeight="15" customHeight="0" zeroHeight="0" outlineLevelRow="0"/>
  <cols>
    <col width="3" customWidth="1" style="24" min="1" max="1"/>
    <col width="104" customWidth="1" style="24" min="2" max="2"/>
  </cols>
  <sheetData>
    <row r="1"/>
    <row r="2" ht="24.45" customHeight="1" s="25">
      <c r="B2" s="26" t="inlineStr">
        <is>
          <t>Exit Timing Calendar</t>
        </is>
      </c>
    </row>
    <row r="3" ht="18" customHeight="1" s="25">
      <c r="B3" s="27" t="inlineStr">
        <is>
          <t>Input tracker. Fill in one row per private position, then hand the sheet to your AI tool.</t>
        </is>
      </c>
    </row>
    <row r="4"/>
    <row r="5" ht="17" customHeight="1" s="25">
      <c r="B5" s="28" t="inlineStr">
        <is>
          <t>What this is for</t>
        </is>
      </c>
    </row>
    <row r="6" ht="45.75" customHeight="1" s="25">
      <c r="B6" s="29" t="inlineStr">
        <is>
          <t>Private positions do not tell you when they will pay. This tracker collects the few things you already know about each deal, and the Exit Timing Calendar prompt turns them into a year by year picture of when cash might arrive, and how confident you can be about it. It will not give you a single predicted exit date, because nobody has one.</t>
        </is>
      </c>
    </row>
    <row r="7"/>
    <row r="8" ht="17" customHeight="1" s="25">
      <c r="B8" s="28" t="inlineStr">
        <is>
          <t>How to use it</t>
        </is>
      </c>
    </row>
    <row r="9" ht="30" customHeight="1" s="25">
      <c r="B9" s="29" t="inlineStr">
        <is>
          <t>1.  Open the Positions tab. Replace the example rows with your own deals. They are one investor’s real book, left in so you can see the expected format.</t>
        </is>
      </c>
    </row>
    <row r="10" ht="30" customHeight="1" s="25">
      <c r="B10" s="29" t="inlineStr">
        <is>
          <t>2.  Fill in the YELLOW cells only. The white ones are formulas and will look after themselves.</t>
        </is>
      </c>
    </row>
    <row r="11" ht="30" customHeight="1" s="25">
      <c r="B11" s="29" t="inlineStr">
        <is>
          <t>3.  Save it, then attach the file to your AI tool along with the Exit Timing Calendar system prompt.</t>
        </is>
      </c>
    </row>
    <row r="12" ht="30" customHeight="1" s="25">
      <c r="B12" s="29" t="inlineStr">
        <is>
          <t>4.  If your tracker already lives in the tool’s memory or knowledge base, just point the prompt at it instead.</t>
        </is>
      </c>
    </row>
    <row r="13" ht="30" customHeight="1" s="25">
      <c r="B13" s="29" t="inlineStr">
        <is>
          <t>5.  Anything you leave blank, the prompt will ask you about rather than guess.</t>
        </is>
      </c>
    </row>
    <row r="14"/>
    <row r="15" ht="17" customHeight="1" s="25">
      <c r="B15" s="28" t="inlineStr">
        <is>
          <t>The three things people get wrong</t>
        </is>
      </c>
    </row>
    <row r="16" ht="15" customHeight="1" s="25">
      <c r="B16" s="30" t="inlineStr">
        <is>
          <t>Commitment, not funded.</t>
        </is>
      </c>
    </row>
    <row r="17" ht="31.5" customHeight="1" s="25">
      <c r="B17" s="29" t="inlineStr">
        <is>
          <t>Run the exit off the FULL commitment. By the time an exit lands you will have funded all of it, so using funded-to-date understates the position. One book in this group was understated by 48% that way.</t>
        </is>
      </c>
    </row>
    <row r="18" ht="15" customHeight="1" s="25">
      <c r="B18" s="30" t="inlineStr">
        <is>
          <t>The sponsor multiple is not the expected case.</t>
        </is>
      </c>
    </row>
    <row r="19" ht="31.5" customHeight="1" s="25">
      <c r="B19" s="29" t="inlineStr">
        <is>
          <t>It is what the deal returns IF IT WORKS. It belongs in the winner branch, around a 10% chance for venture. Using it as the expected value is how these models end up fiction.</t>
        </is>
      </c>
    </row>
    <row r="20" ht="15" customHeight="1" s="25">
      <c r="B20" s="30" t="inlineStr">
        <is>
          <t>A coupon is already inside the multiple.</t>
        </is>
      </c>
    </row>
    <row r="21" ht="31.5" customHeight="1" s="25">
      <c r="B21" s="29" t="inlineStr">
        <is>
          <t>If a deal pays you a preferred return AND you exit it at the sponsor MOIC, you have counted that cash twice. Fill in the coupon column and the prompt handles the rest.</t>
        </is>
      </c>
    </row>
    <row r="22"/>
    <row r="23" ht="17" customHeight="1" s="25">
      <c r="B23" s="28" t="inlineStr">
        <is>
          <t>If you know when your next capital call is due</t>
        </is>
      </c>
    </row>
    <row r="24" ht="15" customHeight="1" s="25">
      <c r="B24" t="inlineStr">
        <is>
          <t>Fill in Next call date, and Next call amount if you know it. Any spelling of the date works (2027, Q1 2027, March 2027) because only the year is used. Leave them blank and the tool spreads whatever is still uncalled evenly over about three years from the year after you funded, which is what it has always done. An amount with no date cannot be placed in a year, so it is ignored and the tool says so.</t>
        </is>
      </c>
    </row>
    <row r="25" ht="15" customHeight="1" s="25">
      <c r="B25" s="28" t="inlineStr">
        <is>
          <t>Cell colours</t>
        </is>
      </c>
    </row>
    <row r="26">
      <c r="B26" s="31" t="inlineStr">
        <is>
          <t xml:space="preserve">   Yellow fill  —  Fill this in.</t>
        </is>
      </c>
    </row>
    <row r="27" ht="15" customHeight="1" s="25">
      <c r="B27" s="32" t="inlineStr">
        <is>
          <t xml:space="preserve">   White  —  A formula. Leave it alone.</t>
        </is>
      </c>
    </row>
    <row r="28"/>
    <row r="29">
      <c r="B29" s="33" t="inlineStr">
        <is>
          <t>Not advice. The probability assumptions in the prompt are one investor’s and are meant to be argued with.</t>
        </is>
      </c>
    </row>
    <row r="30"/>
    <row r="31">
      <c r="A31" s="24" t="inlineStr">
        <is>
          <t>Deals in fund, Liquidity from, Liquidity to</t>
        </is>
      </c>
    </row>
    <row r="32">
      <c r="A32" s="24" t="inlineStr">
        <is>
          <t>How many underlying deals the position holds. This decides only how a VENTURE position is priced: a venture fund holding 20 or more is not priced like a single company. You do not need it for a fund that pays a coupon. Put 1 here if the position is a SINGLE COMPANY that pays a preferred return, which tells the tool to exit it on one date instead of spreading the payout.</t>
        </is>
      </c>
    </row>
    <row r="33"/>
    <row r="34">
      <c r="A34" s="24" t="inlineStr">
        <is>
          <t>Liquidity from / Liquidity to</t>
        </is>
      </c>
    </row>
    <row r="35">
      <c r="A35" s="24" t="inlineStr">
        <is>
          <t>The years, counted from when you funded the deal, over which the fund actually sells down and pays out. If a sponsor has said "expect distributions in years five through eight", put 5 and 8. Leave them blank and the tool assumes the back 40% of the hold. Note that a pay-out window and a fund's stated life are not the same thing: a fund can finish selling in year six and wind up in year seven.</t>
        </is>
      </c>
    </row>
    <row r="36"/>
    <row r="37">
      <c r="A37" s="24" t="inlineStr">
        <is>
          <t>You can leave most of this blank</t>
        </is>
      </c>
    </row>
    <row r="38">
      <c r="A38" s="24" t="inlineStr">
        <is>
          <t>The tool ships with a shared file for each of the common GC deals, carrying the sponsor, the vehicle, the structure, the preferred rate, the hold, the fees and when the GP says it pays out. If your deal name matches one of those, those columns fill themselves in and you only need YOUR numbers: commitment, funded to date, uncalled, and the year you funded it. Anything you do type wins over the shared file, always. A deal nobody has shared still works; you just supply its terms yourself.</t>
        </is>
      </c>
    </row>
    <row r="39"/>
    <row r="40">
      <c r="A40" s="24" t="inlineStr">
        <is>
          <t>Thesis</t>
        </is>
      </c>
    </row>
    <row r="41">
      <c r="A41" s="24" t="inlineStr">
        <is>
          <t>Why you did the deal, in your own words. This is yours and it is never pre-filled from anywhere, because somebody else's reasoning is not your reasoning. It shows on the deal card and never leaves your machine.</t>
        </is>
      </c>
    </row>
    <row r="42"/>
    <row r="43">
      <c r="A43" s="24" t="inlineStr">
        <is>
          <t>Fund or Single deal</t>
        </is>
      </c>
    </row>
    <row r="44">
      <c r="A44" s="24" t="inlineStr">
        <is>
          <t>Type "Fund" if the position holds several underlying investments, or "Single deal" if it is one company or one property. This is the simplest way to tell the tool how a position pays out: a fund sells down over several years, a single deal is bought on one date. It beats anything the tool would otherwise guess, including the Deals in fund count. If you leave it blank the tool still works out a sensible answer, but saying it outright is better.</t>
        </is>
      </c>
    </row>
    <row r="45"/>
    <row r="46">
      <c r="A46" s="51" t="inlineStr">
        <is>
          <t>NEW IN THIS VERSION</t>
        </is>
      </c>
    </row>
    <row r="47">
      <c r="A47" s="52" t="inlineStr">
        <is>
          <t>· Account, on Positions: which account each deal is held in. Leave it blank and everything still works.</t>
        </is>
      </c>
    </row>
    <row r="48">
      <c r="A48" s="52" t="inlineStr">
        <is>
          <t>· You: your ages, your spend target and your benefit. Drives the Liquidity Runway tab.</t>
        </is>
      </c>
    </row>
    <row r="49">
      <c r="A49" s="52" t="inlineStr">
        <is>
          <t>· Balances: everything that is not a private deal, one row per account and sleeve.</t>
        </is>
      </c>
    </row>
    <row r="50">
      <c r="A50" s="52" t="inlineStr">
        <is>
          <t>· Property, Cashflows and Events: a house sale, a pension, an inheritance, a big bill.</t>
        </is>
      </c>
    </row>
    <row r="51">
      <c r="A51" s="52" t="inlineStr">
        <is>
          <t>· All three are optional. A tracker without them behaves exactly as it did before.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X2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453125" defaultRowHeight="15" customHeight="0" zeroHeight="0" outlineLevelRow="0"/>
  <cols>
    <col width="30" customWidth="1" style="24" min="1" max="1"/>
    <col width="22" customWidth="1" style="24" min="2" max="2"/>
    <col width="16" customWidth="1" style="24" min="3" max="3"/>
    <col width="14" customWidth="1" style="24" min="4" max="5"/>
    <col width="13" customWidth="1" style="24" min="6" max="6"/>
    <col width="12" customWidth="1" style="24" min="7" max="7"/>
    <col width="11" customWidth="1" style="24" min="8" max="9"/>
    <col width="13" customWidth="1" style="24" min="10" max="10"/>
    <col width="12" customWidth="1" style="24" min="11" max="11"/>
    <col width="13" customWidth="1" style="24" min="12" max="14"/>
    <col width="14" customWidth="1" style="24" min="15" max="15"/>
    <col width="13" customWidth="1" style="25" min="16" max="16"/>
    <col width="14" customWidth="1" style="25" min="17" max="17"/>
    <col width="14" customWidth="1" style="25" min="18" max="18"/>
    <col width="46" customWidth="1" style="25" min="19" max="19"/>
    <col width="18" customWidth="1" style="25" min="20" max="20"/>
    <col width="15" customWidth="1" style="25" min="21" max="21"/>
    <col width="18" customWidth="1" style="25" min="23" max="23"/>
    <col width="18" customWidth="1" style="25" min="24" max="24"/>
  </cols>
  <sheetData>
    <row r="1" ht="16.15" customHeight="1" s="25">
      <c r="A1" s="34" t="inlineStr">
        <is>
          <t>Positions  ·  fill in the yellow cells, one row per deal        TRACKER v1.8</t>
        </is>
      </c>
    </row>
    <row r="2" ht="30" customHeight="1" s="25">
      <c r="A2" s="36" t="inlineStr">
        <is>
          <t>Deal name</t>
        </is>
      </c>
      <c r="B2" s="36" t="inlineStr">
        <is>
          <t>Account</t>
        </is>
      </c>
      <c r="C2" s="36" t="inlineStr">
        <is>
          <t>Sleeve</t>
        </is>
      </c>
      <c r="D2" s="36" t="inlineStr">
        <is>
          <t>Asset class</t>
        </is>
      </c>
      <c r="E2" s="36" t="inlineStr">
        <is>
          <t>Commitment</t>
        </is>
      </c>
      <c r="F2" s="36" t="inlineStr">
        <is>
          <t>Funded to date</t>
        </is>
      </c>
      <c r="G2" s="36" t="inlineStr">
        <is>
          <t>Uncalled</t>
        </is>
      </c>
      <c r="H2" s="36" t="inlineStr">
        <is>
          <t>Year funded</t>
        </is>
      </c>
      <c r="I2" s="36" t="inlineStr">
        <is>
          <t>Hold (yrs)</t>
        </is>
      </c>
      <c r="J2" s="36" t="inlineStr">
        <is>
          <t>Coupon %</t>
        </is>
      </c>
      <c r="K2" s="36" t="inlineStr">
        <is>
          <t>Sponsor MOIC</t>
        </is>
      </c>
      <c r="L2" s="36" t="inlineStr">
        <is>
          <t>Conviction</t>
        </is>
      </c>
      <c r="M2" s="36" t="inlineStr">
        <is>
          <t>Exit: earliest</t>
        </is>
      </c>
      <c r="N2" s="36" t="inlineStr">
        <is>
          <t>Exit: likely</t>
        </is>
      </c>
      <c r="O2" s="36" t="inlineStr">
        <is>
          <t>Exit: latest</t>
        </is>
      </c>
      <c r="P2" s="36" t="inlineStr">
        <is>
          <t>Override likely</t>
        </is>
      </c>
      <c r="Q2" s="36" t="inlineStr">
        <is>
          <t>Deals in fund</t>
        </is>
      </c>
      <c r="R2" s="36" t="inlineStr">
        <is>
          <t>Liquidity from</t>
        </is>
      </c>
      <c r="S2" s="36" t="inlineStr">
        <is>
          <t>Liquidity to</t>
        </is>
      </c>
      <c r="T2" s="36" t="inlineStr">
        <is>
          <t>Thesis</t>
        </is>
      </c>
      <c r="U2" s="36" t="inlineStr">
        <is>
          <t>Fund or Single deal</t>
        </is>
      </c>
      <c r="V2" s="36" t="inlineStr">
        <is>
          <t>Marked Up MOIC</t>
        </is>
      </c>
      <c r="W2" s="36" t="inlineStr">
        <is>
          <t>Next call date</t>
        </is>
      </c>
      <c r="X2" s="36" t="inlineStr">
        <is>
          <t>Next call amount</t>
        </is>
      </c>
    </row>
    <row r="3" ht="15" customHeight="1" s="25">
      <c r="A3" s="37" t="inlineStr">
        <is>
          <t>Eephus Growth Fund I</t>
        </is>
      </c>
      <c r="B3" s="53" t="inlineStr">
        <is>
          <t>Equity Trust SDIRA</t>
        </is>
      </c>
      <c r="C3" s="37" t="inlineStr">
        <is>
          <t>Income</t>
        </is>
      </c>
      <c r="D3" s="37" t="n"/>
      <c r="E3" s="38" t="n">
        <v>50000</v>
      </c>
      <c r="F3" s="38" t="n">
        <v>50000</v>
      </c>
      <c r="G3" s="39">
        <f>MAX(0,D3-E3)</f>
        <v/>
      </c>
      <c r="H3" s="45" t="n">
        <v>2025</v>
      </c>
      <c r="I3" s="45" t="n"/>
      <c r="J3" s="41" t="n"/>
      <c r="K3" s="42" t="n"/>
      <c r="L3" s="37" t="inlineStr">
        <is>
          <t>Medium</t>
        </is>
      </c>
      <c r="M3" s="43">
        <f>IF(M3="","",M3-MIN(3,MAX(1,ROUND(H3*0.3,0))))</f>
        <v/>
      </c>
      <c r="N3" s="43">
        <f>IF(O3&lt;&gt;"",O3,IF(H3="","",G3+H3))</f>
        <v/>
      </c>
      <c r="O3" s="43">
        <f>IF(M3="","",M3+2)</f>
        <v/>
      </c>
      <c r="P3" s="44" t="n"/>
      <c r="Q3" s="45" t="n"/>
      <c r="R3" s="45" t="n"/>
      <c r="S3" s="45" t="n"/>
      <c r="T3" s="37" t="inlineStr">
        <is>
          <t>Income floor. Quarterly cash I can plan a year around, with an equity kicker on the sale.</t>
        </is>
      </c>
      <c r="U3" s="37" t="n"/>
      <c r="V3" s="42" t="n"/>
      <c r="W3" s="59" t="n"/>
      <c r="X3" s="37" t="n"/>
    </row>
    <row r="4" ht="15" customHeight="1" s="25">
      <c r="A4" s="37" t="inlineStr">
        <is>
          <t>Eephus Growth Fund II</t>
        </is>
      </c>
      <c r="B4" s="53" t="inlineStr">
        <is>
          <t>Equity Trust SDIRA</t>
        </is>
      </c>
      <c r="C4" s="37" t="inlineStr">
        <is>
          <t>Income</t>
        </is>
      </c>
      <c r="D4" s="37" t="n"/>
      <c r="E4" s="38" t="n">
        <v>50000</v>
      </c>
      <c r="F4" s="38" t="n">
        <v>50000</v>
      </c>
      <c r="G4" s="39">
        <f>MAX(0,D4-E4)</f>
        <v/>
      </c>
      <c r="H4" s="45" t="n">
        <v>2026</v>
      </c>
      <c r="I4" s="45" t="n"/>
      <c r="J4" s="41" t="n"/>
      <c r="K4" s="42" t="n"/>
      <c r="L4" s="37" t="inlineStr">
        <is>
          <t>Medium</t>
        </is>
      </c>
      <c r="M4" s="43">
        <f>IF(M4="","",M4-MIN(3,MAX(1,ROUND(H4*0.3,0))))</f>
        <v/>
      </c>
      <c r="N4" s="43">
        <f>IF(O4&lt;&gt;"",O4,IF(H4="","",G4+H4))</f>
        <v/>
      </c>
      <c r="O4" s="43">
        <f>IF(M4="","",M4+2)</f>
        <v/>
      </c>
      <c r="P4" s="44" t="n"/>
      <c r="Q4" s="45" t="n"/>
      <c r="R4" s="45" t="n"/>
      <c r="S4" s="45" t="n"/>
      <c r="T4" s="37" t="n"/>
      <c r="U4" s="37" t="n"/>
      <c r="V4" s="42" t="n"/>
      <c r="W4" s="59" t="n"/>
      <c r="X4" s="37" t="n"/>
    </row>
    <row r="5" ht="15" customHeight="1" s="25">
      <c r="A5" s="37" t="inlineStr">
        <is>
          <t>BlueBird Capital (Tranche 1)</t>
        </is>
      </c>
      <c r="B5" s="53" t="inlineStr">
        <is>
          <t>Equity Trust SDIRA</t>
        </is>
      </c>
      <c r="C5" s="37" t="inlineStr">
        <is>
          <t>Income</t>
        </is>
      </c>
      <c r="D5" s="37" t="n"/>
      <c r="E5" s="38" t="n">
        <v>50000</v>
      </c>
      <c r="F5" s="38" t="n">
        <v>50000</v>
      </c>
      <c r="G5" s="39">
        <f>MAX(0,D5-E5)</f>
        <v/>
      </c>
      <c r="H5" s="45" t="n">
        <v>2025</v>
      </c>
      <c r="I5" s="45" t="n"/>
      <c r="J5" s="41" t="n"/>
      <c r="K5" s="42" t="n"/>
      <c r="L5" s="37" t="inlineStr">
        <is>
          <t>Medium</t>
        </is>
      </c>
      <c r="M5" s="43">
        <f>IF(M5="","",M5-MIN(3,MAX(1,ROUND(H5*0.3,0))))</f>
        <v/>
      </c>
      <c r="N5" s="43">
        <f>IF(O5&lt;&gt;"",O5,IF(H5="","",G5+H5))</f>
        <v/>
      </c>
      <c r="O5" s="43">
        <f>IF(M5="","",M5+2)</f>
        <v/>
      </c>
      <c r="P5" s="44" t="n"/>
      <c r="Q5" s="45" t="n"/>
      <c r="R5" s="45" t="n"/>
      <c r="S5" s="45" t="n"/>
      <c r="T5" s="37" t="n"/>
      <c r="U5" s="37" t="n"/>
      <c r="V5" s="42" t="n"/>
      <c r="W5" s="59" t="n"/>
      <c r="X5" s="37" t="n"/>
    </row>
    <row r="6" ht="15" customHeight="1" s="25">
      <c r="A6" s="37" t="inlineStr">
        <is>
          <t>BlueBird Capital (Tranche 2)</t>
        </is>
      </c>
      <c r="C6" s="37" t="inlineStr">
        <is>
          <t>Income</t>
        </is>
      </c>
      <c r="D6" s="37" t="n"/>
      <c r="E6" s="38" t="n">
        <v>50000</v>
      </c>
      <c r="F6" s="38" t="n">
        <v>50000</v>
      </c>
      <c r="G6" s="39">
        <f>MAX(0,D6-E6)</f>
        <v/>
      </c>
      <c r="H6" s="45" t="n">
        <v>2026</v>
      </c>
      <c r="I6" s="45" t="n"/>
      <c r="J6" s="41" t="n"/>
      <c r="K6" s="42" t="n"/>
      <c r="L6" s="37" t="inlineStr">
        <is>
          <t>Medium</t>
        </is>
      </c>
      <c r="M6" s="43">
        <f>IF(M6="","",M6-MIN(3,MAX(1,ROUND(H6*0.3,0))))</f>
        <v/>
      </c>
      <c r="N6" s="43">
        <f>IF(O6&lt;&gt;"",O6,IF(H6="","",G6+H6))</f>
        <v/>
      </c>
      <c r="O6" s="43">
        <f>IF(M6="","",M6+2)</f>
        <v/>
      </c>
      <c r="P6" s="44" t="n"/>
      <c r="Q6" s="45" t="n"/>
      <c r="R6" s="45" t="n"/>
      <c r="S6" s="45" t="n"/>
      <c r="T6" s="37" t="n"/>
      <c r="U6" s="37" t="n"/>
      <c r="V6" s="42" t="n"/>
      <c r="W6" s="59" t="n"/>
      <c r="X6" s="37" t="n"/>
    </row>
    <row r="7" ht="15" customHeight="1" s="25">
      <c r="A7" s="37" t="inlineStr">
        <is>
          <t>Asilia GC Fund</t>
        </is>
      </c>
      <c r="C7" s="37" t="inlineStr">
        <is>
          <t>Income</t>
        </is>
      </c>
      <c r="D7" s="37" t="n"/>
      <c r="E7" s="38" t="n">
        <v>100000</v>
      </c>
      <c r="F7" s="38" t="n">
        <v>19000</v>
      </c>
      <c r="G7" s="39">
        <f>MAX(0,D7-E7)</f>
        <v/>
      </c>
      <c r="H7" s="45" t="n">
        <v>2026</v>
      </c>
      <c r="I7" s="45" t="n"/>
      <c r="J7" s="41" t="n"/>
      <c r="K7" s="42" t="n"/>
      <c r="L7" s="37" t="inlineStr">
        <is>
          <t>High</t>
        </is>
      </c>
      <c r="M7" s="43">
        <f>IF(M7="","",M7-MIN(3,MAX(1,ROUND(H7*0.3,0))))</f>
        <v/>
      </c>
      <c r="N7" s="43">
        <f>IF(O7&lt;&gt;"",O7,IF(H7="","",G7+H7))</f>
        <v/>
      </c>
      <c r="O7" s="43">
        <f>IF(M7="","",M7+2)</f>
        <v/>
      </c>
      <c r="P7" s="44" t="n"/>
      <c r="Q7" s="45" t="n"/>
      <c r="R7" s="45" t="n"/>
      <c r="S7" s="45" t="n"/>
      <c r="T7" s="37" t="inlineStr">
        <is>
          <t>Highest coupon in the book and a credit-tilted base case. Sized for the income, not the kicker.</t>
        </is>
      </c>
      <c r="U7" s="37" t="n"/>
      <c r="V7" s="42" t="n"/>
      <c r="W7" s="59" t="inlineStr">
        <is>
          <t>Q1 2027</t>
        </is>
      </c>
      <c r="X7" s="37" t="n"/>
    </row>
    <row r="8" ht="15" customHeight="1" s="25">
      <c r="A8" s="37" t="inlineStr">
        <is>
          <t>SpaceStation Fund</t>
        </is>
      </c>
      <c r="C8" s="37" t="inlineStr">
        <is>
          <t>Venture</t>
        </is>
      </c>
      <c r="D8" s="37" t="n"/>
      <c r="E8" s="38" t="n">
        <v>250000</v>
      </c>
      <c r="F8" s="38" t="n">
        <v>75000</v>
      </c>
      <c r="G8" s="39">
        <f>MAX(0,D8-E8)</f>
        <v/>
      </c>
      <c r="H8" s="45" t="n">
        <v>2025</v>
      </c>
      <c r="I8" s="45" t="n"/>
      <c r="J8" s="41" t="n"/>
      <c r="K8" s="42" t="n"/>
      <c r="L8" s="37" t="inlineStr">
        <is>
          <t>Medium</t>
        </is>
      </c>
      <c r="M8" s="43">
        <f>IF(M8="","",M8-MIN(3,MAX(1,ROUND(H8*0.3,0))))</f>
        <v/>
      </c>
      <c r="N8" s="43">
        <f>IF(O8&lt;&gt;"",O8,IF(H8="","",G8+H8))</f>
        <v/>
      </c>
      <c r="O8" s="43">
        <f>IF(M8="","",M8+2)</f>
        <v/>
      </c>
      <c r="P8" s="44" t="n"/>
      <c r="Q8" s="45" t="n"/>
      <c r="R8" s="45" t="n"/>
      <c r="S8" s="45" t="n"/>
      <c r="T8" s="37" t="inlineStr">
        <is>
          <t>The only thing I own that can return many times what I put in. Sized so it can go badly.</t>
        </is>
      </c>
      <c r="U8" s="37" t="n"/>
      <c r="V8" s="42" t="n"/>
      <c r="W8" s="59" t="n"/>
      <c r="X8" s="37" t="n"/>
    </row>
    <row r="9" ht="15" customHeight="1" s="25">
      <c r="A9" s="37" t="inlineStr">
        <is>
          <t>Next Life Sciences - Plan A</t>
        </is>
      </c>
      <c r="C9" s="37" t="inlineStr">
        <is>
          <t>Venture</t>
        </is>
      </c>
      <c r="D9" s="37" t="n"/>
      <c r="E9" s="38" t="n">
        <v>25000</v>
      </c>
      <c r="F9" s="38" t="n">
        <v>25000</v>
      </c>
      <c r="G9" s="39">
        <f>MAX(0,D9-E9)</f>
        <v/>
      </c>
      <c r="H9" s="45" t="n">
        <v>2025</v>
      </c>
      <c r="I9" s="45" t="n"/>
      <c r="J9" s="41" t="n"/>
      <c r="K9" s="42" t="n"/>
      <c r="L9" s="37" t="inlineStr">
        <is>
          <t>Medium</t>
        </is>
      </c>
      <c r="M9" s="43">
        <f>IF(M9="","",M9-MIN(3,MAX(1,ROUND(H9*0.3,0))))</f>
        <v/>
      </c>
      <c r="N9" s="43">
        <f>IF(O9&lt;&gt;"",O9,IF(H9="","",G9+H9))</f>
        <v/>
      </c>
      <c r="O9" s="43">
        <f>IF(M9="","",M9+2)</f>
        <v/>
      </c>
      <c r="P9" s="44" t="n"/>
      <c r="Q9" s="45" t="n"/>
      <c r="R9" s="45" t="n"/>
      <c r="S9" s="45" t="n"/>
      <c r="T9" s="37" t="n"/>
      <c r="U9" s="37" t="n"/>
      <c r="V9" s="42" t="n"/>
      <c r="W9" s="59" t="n"/>
      <c r="X9" s="37" t="n"/>
    </row>
    <row r="10" ht="15" customHeight="1" s="25">
      <c r="A10" s="37" t="inlineStr">
        <is>
          <t>Aerolane</t>
        </is>
      </c>
      <c r="C10" s="37" t="inlineStr">
        <is>
          <t>Venture</t>
        </is>
      </c>
      <c r="D10" s="37" t="n"/>
      <c r="E10" s="38" t="n">
        <v>25000</v>
      </c>
      <c r="F10" s="38" t="n">
        <v>25000</v>
      </c>
      <c r="G10" s="39">
        <f>MAX(0,D10-E10)</f>
        <v/>
      </c>
      <c r="H10" s="45" t="n">
        <v>2026</v>
      </c>
      <c r="I10" s="45" t="n"/>
      <c r="J10" s="41" t="n"/>
      <c r="K10" s="42" t="n"/>
      <c r="L10" s="37" t="inlineStr">
        <is>
          <t>Medium</t>
        </is>
      </c>
      <c r="M10" s="43">
        <f>IF(M10="","",M10-MIN(3,MAX(1,ROUND(H10*0.3,0))))</f>
        <v/>
      </c>
      <c r="N10" s="43">
        <f>IF(O10&lt;&gt;"",O10,IF(H10="","",G10+H10))</f>
        <v/>
      </c>
      <c r="O10" s="43">
        <f>IF(M10="","",M10+2)</f>
        <v/>
      </c>
      <c r="P10" s="44" t="n"/>
      <c r="Q10" s="45" t="n"/>
      <c r="R10" s="45" t="n"/>
      <c r="S10" s="45" t="n"/>
      <c r="T10" s="37" t="n"/>
      <c r="U10" s="37" t="n"/>
      <c r="V10" s="42" t="n"/>
      <c r="W10" s="59" t="n"/>
      <c r="X10" s="37" t="n"/>
    </row>
    <row r="11" ht="15" customHeight="1" s="25">
      <c r="A11" s="37" t="inlineStr">
        <is>
          <t>Turbo Insurance</t>
        </is>
      </c>
      <c r="C11" s="37" t="inlineStr">
        <is>
          <t>Venture</t>
        </is>
      </c>
      <c r="D11" s="37" t="n"/>
      <c r="E11" s="38" t="n">
        <v>20000</v>
      </c>
      <c r="F11" s="38" t="n">
        <v>20000</v>
      </c>
      <c r="G11" s="39">
        <f>MAX(0,D11-E11)</f>
        <v/>
      </c>
      <c r="H11" s="45" t="n">
        <v>2025</v>
      </c>
      <c r="I11" s="45" t="n"/>
      <c r="J11" s="41" t="n"/>
      <c r="K11" s="42" t="n"/>
      <c r="L11" s="37" t="inlineStr">
        <is>
          <t>High</t>
        </is>
      </c>
      <c r="M11" s="43">
        <f>IF(M11="","",M11-MIN(3,MAX(1,ROUND(H11*0.3,0))))</f>
        <v/>
      </c>
      <c r="N11" s="43">
        <f>IF(O11&lt;&gt;"",O11,IF(H11="","",G11+H11))</f>
        <v/>
      </c>
      <c r="O11" s="43">
        <f>IF(M11="","",M11+2)</f>
        <v/>
      </c>
      <c r="P11" s="44" t="n"/>
      <c r="Q11" s="45" t="n"/>
      <c r="R11" s="45" t="n"/>
      <c r="S11" s="45" t="n"/>
      <c r="T11" s="37" t="n"/>
      <c r="U11" s="37" t="n"/>
      <c r="V11" s="42" t="n"/>
      <c r="W11" s="59" t="n"/>
      <c r="X11" s="37" t="n"/>
    </row>
    <row r="12" ht="15" customHeight="1" s="25">
      <c r="A12" s="37" t="inlineStr">
        <is>
          <t>Rainmaker SPV</t>
        </is>
      </c>
      <c r="C12" s="37" t="inlineStr">
        <is>
          <t>Venture</t>
        </is>
      </c>
      <c r="D12" s="37" t="n"/>
      <c r="E12" s="38" t="n">
        <v>20000</v>
      </c>
      <c r="F12" s="38" t="n">
        <v>20000</v>
      </c>
      <c r="G12" s="39">
        <f>MAX(0,D12-E12)</f>
        <v/>
      </c>
      <c r="H12" s="45" t="n">
        <v>2026</v>
      </c>
      <c r="I12" s="45" t="n"/>
      <c r="J12" s="41" t="n"/>
      <c r="K12" s="42" t="n"/>
      <c r="L12" s="37" t="inlineStr">
        <is>
          <t>Low</t>
        </is>
      </c>
      <c r="M12" s="43">
        <f>IF(M12="","",M12-MIN(3,MAX(1,ROUND(H12*0.3,0))))</f>
        <v/>
      </c>
      <c r="N12" s="43">
        <f>IF(O12&lt;&gt;"",O12,IF(H12="","",G12+H12))</f>
        <v/>
      </c>
      <c r="O12" s="43">
        <f>IF(M12="","",M12+2)</f>
        <v/>
      </c>
      <c r="P12" s="44" t="n"/>
      <c r="Q12" s="45" t="n"/>
      <c r="R12" s="45" t="n"/>
      <c r="S12" s="45" t="n"/>
      <c r="T12" s="37" t="n"/>
      <c r="U12" s="37" t="n"/>
      <c r="V12" s="42" t="n"/>
      <c r="W12" s="59" t="n"/>
      <c r="X12" s="37" t="n"/>
    </row>
    <row r="13" ht="15" customHeight="1" s="25">
      <c r="A13" s="37" t="inlineStr">
        <is>
          <t>AERTHLINGS</t>
        </is>
      </c>
      <c r="C13" s="37" t="inlineStr">
        <is>
          <t>Venture</t>
        </is>
      </c>
      <c r="D13" s="37" t="n"/>
      <c r="E13" s="38" t="n">
        <v>10000</v>
      </c>
      <c r="F13" s="38" t="n">
        <v>10000</v>
      </c>
      <c r="G13" s="39">
        <f>MAX(0,D13-E13)</f>
        <v/>
      </c>
      <c r="H13" s="45" t="n">
        <v>2025</v>
      </c>
      <c r="I13" s="45" t="n"/>
      <c r="J13" s="41" t="n"/>
      <c r="K13" s="42" t="n"/>
      <c r="L13" s="37" t="inlineStr">
        <is>
          <t>Low</t>
        </is>
      </c>
      <c r="M13" s="43">
        <f>IF(M13="","",M13-MIN(3,MAX(1,ROUND(H13*0.3,0))))</f>
        <v/>
      </c>
      <c r="N13" s="43">
        <f>IF(O13&lt;&gt;"",O13,IF(H13="","",G13+H13))</f>
        <v/>
      </c>
      <c r="O13" s="43">
        <f>IF(M13="","",M13+2)</f>
        <v/>
      </c>
      <c r="P13" s="44" t="n"/>
      <c r="Q13" s="45" t="n"/>
      <c r="R13" s="45" t="n"/>
      <c r="S13" s="45" t="n"/>
      <c r="T13" s="37" t="n"/>
      <c r="U13" s="37" t="n"/>
      <c r="V13" s="42" t="n"/>
      <c r="W13" s="59" t="n"/>
      <c r="X13" s="37" t="n"/>
    </row>
    <row r="14" ht="15" customHeight="1" s="25">
      <c r="A14" s="37" t="inlineStr">
        <is>
          <t>Rorra</t>
        </is>
      </c>
      <c r="C14" s="37" t="inlineStr">
        <is>
          <t>Venture</t>
        </is>
      </c>
      <c r="D14" s="37" t="n"/>
      <c r="E14" s="38" t="n">
        <v>10000</v>
      </c>
      <c r="F14" s="38" t="n">
        <v>10000</v>
      </c>
      <c r="G14" s="39">
        <f>MAX(0,D14-E14)</f>
        <v/>
      </c>
      <c r="H14" s="45" t="n">
        <v>2026</v>
      </c>
      <c r="I14" s="45" t="n"/>
      <c r="J14" s="41" t="n"/>
      <c r="K14" s="42" t="n"/>
      <c r="L14" s="37" t="inlineStr">
        <is>
          <t>Medium</t>
        </is>
      </c>
      <c r="M14" s="43">
        <f>IF(M14="","",M14-MIN(3,MAX(1,ROUND(H14*0.3,0))))</f>
        <v/>
      </c>
      <c r="N14" s="43">
        <f>IF(O14&lt;&gt;"",O14,IF(H14="","",G14+H14))</f>
        <v/>
      </c>
      <c r="O14" s="43">
        <f>IF(M14="","",M14+2)</f>
        <v/>
      </c>
      <c r="P14" s="44" t="n"/>
      <c r="Q14" s="45" t="n"/>
      <c r="R14" s="45" t="n"/>
      <c r="S14" s="45" t="n"/>
      <c r="T14" s="37" t="n"/>
      <c r="U14" s="37" t="n"/>
      <c r="V14" s="42" t="n"/>
      <c r="W14" s="59" t="n"/>
      <c r="X14" s="37" t="n"/>
    </row>
    <row r="15" ht="15" customHeight="1" s="25">
      <c r="A15" s="37" t="inlineStr">
        <is>
          <t>Telly TV</t>
        </is>
      </c>
      <c r="C15" s="37" t="inlineStr">
        <is>
          <t>Venture</t>
        </is>
      </c>
      <c r="D15" s="37" t="n"/>
      <c r="E15" s="38" t="n">
        <v>5000</v>
      </c>
      <c r="F15" s="38" t="n">
        <v>5000</v>
      </c>
      <c r="G15" s="39">
        <f>MAX(0,D15-E15)</f>
        <v/>
      </c>
      <c r="H15" s="45" t="n">
        <v>2025</v>
      </c>
      <c r="I15" s="45" t="n"/>
      <c r="J15" s="41" t="n"/>
      <c r="K15" s="42" t="n"/>
      <c r="L15" s="37" t="inlineStr">
        <is>
          <t>Low</t>
        </is>
      </c>
      <c r="M15" s="43">
        <f>IF(M15="","",M15-MIN(3,MAX(1,ROUND(H15*0.3,0))))</f>
        <v/>
      </c>
      <c r="N15" s="43">
        <f>IF(O15&lt;&gt;"",O15,IF(H15="","",G15+H15))</f>
        <v/>
      </c>
      <c r="O15" s="43">
        <f>IF(M15="","",M15+2)</f>
        <v/>
      </c>
      <c r="P15" s="44" t="n"/>
      <c r="Q15" s="45" t="n"/>
      <c r="R15" s="45" t="n"/>
      <c r="S15" s="45" t="n"/>
      <c r="T15" s="37" t="n"/>
      <c r="U15" s="37" t="n"/>
      <c r="V15" s="42" t="n"/>
      <c r="W15" s="59" t="n"/>
      <c r="X15" s="37" t="n"/>
    </row>
    <row r="16" ht="15" customHeight="1" s="25">
      <c r="A16" s="46" t="inlineStr">
        <is>
          <t>Total</t>
        </is>
      </c>
      <c r="E16" s="47">
        <f>SUM(D3:D15)</f>
        <v/>
      </c>
      <c r="F16" s="47">
        <f>SUM(E3:E15)</f>
        <v/>
      </c>
      <c r="G16" s="47">
        <f>SUM(F3:F15)</f>
        <v/>
      </c>
      <c r="Q16" s="45" t="n"/>
      <c r="R16" s="45" t="n"/>
      <c r="S16" s="45" t="n"/>
      <c r="T16" s="37" t="n"/>
      <c r="U16" s="37" t="inlineStr">
        <is>
          <t>Single deal</t>
        </is>
      </c>
      <c r="W16" s="59" t="n"/>
      <c r="X16" s="37" t="n"/>
    </row>
    <row r="17">
      <c r="W17" s="59" t="n"/>
      <c r="X17" s="37" t="n"/>
    </row>
    <row r="18" ht="15" customHeight="1" s="25">
      <c r="A18" s="48" t="inlineStr">
        <is>
          <t>Blue text is something you typed. Black is a formula. Column F and the three exit-year columns work themselves out; put a year in Override likely only if you know better than the derived one.</t>
        </is>
      </c>
      <c r="Q18" s="45" t="n">
        <v>1</v>
      </c>
      <c r="R18" s="45" t="n"/>
      <c r="S18" s="45" t="n"/>
      <c r="T18" s="37" t="n"/>
      <c r="U18" s="37" t="inlineStr">
        <is>
          <t>Single deal</t>
        </is>
      </c>
      <c r="W18" s="59" t="n"/>
      <c r="X18" s="37" t="n"/>
    </row>
    <row r="19">
      <c r="A19" s="24" t="inlineStr">
        <is>
          <t>Hold, Coupon, Sponsor MOIC, Asset class and the fund columns are deliberately BLANK on these example rows. Those terms are identical for everyone who bought the deal, so they now live in one shared file per deal and the tool fills them in. Anything you type here overrides the shared file and nothing argues with you — which is why a figure typed before a sponsor corrected its terms is worth checking.</t>
        </is>
      </c>
      <c r="W19" s="59" t="n"/>
      <c r="X19" s="37" t="n"/>
    </row>
    <row r="20" ht="15" customHeight="1" s="25">
      <c r="A20" s="48" t="inlineStr">
        <is>
          <t>These rows are one investor’s real book, shared as a worked example. Replace them with your own.</t>
        </is>
      </c>
      <c r="Q20" s="45" t="n">
        <v>1</v>
      </c>
      <c r="R20" s="45" t="n"/>
      <c r="S20" s="45" t="n"/>
      <c r="T20" s="37" t="n"/>
      <c r="U20" s="37" t="inlineStr">
        <is>
          <t>Single deal</t>
        </is>
      </c>
      <c r="W20" s="59" t="n"/>
      <c r="X20" s="37" t="n"/>
    </row>
    <row r="21">
      <c r="A21" s="24" t="inlineStr">
        <is>
          <t>Marked Up MOIC is optional. It records what you believe a position is worth now, and it drives a paper track shown beside the cash forecast rather than inside it. It never moves a cash figure and never enters the IRR.</t>
        </is>
      </c>
      <c r="W21" s="59" t="n"/>
      <c r="X21" s="37" t="n"/>
    </row>
  </sheetData>
  <mergeCells count="2">
    <mergeCell ref="A18:K18"/>
    <mergeCell ref="A20:K2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B2:B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53125" defaultRowHeight="15" customHeight="0" zeroHeight="0" outlineLevelRow="0"/>
  <cols>
    <col width="3" customWidth="1" style="24" min="1" max="1"/>
    <col width="104" customWidth="1" style="24" min="2" max="2"/>
  </cols>
  <sheetData>
    <row r="2" ht="20" customHeight="1" s="25">
      <c r="B2" s="49" t="inlineStr">
        <is>
          <t>What the prompt gives you back</t>
        </is>
      </c>
    </row>
    <row r="3" ht="30" customHeight="1" s="25">
      <c r="B3" s="27" t="inlineStr">
        <is>
          <t>Four panels. They answer different questions and two of them behave in opposite ways, which is worth knowing before you read them.</t>
        </is>
      </c>
    </row>
    <row r="5" ht="15" customHeight="1" s="25">
      <c r="B5" s="50" t="inlineStr">
        <is>
          <t>1. What happens IN each year</t>
        </is>
      </c>
    </row>
    <row r="6" ht="45.75" customHeight="1" s="25">
      <c r="B6" s="29" t="inlineStr">
        <is>
          <t>Preferred returns, capital calls going out, then the typical year, the odds of any cash at all, and a good run. Most years come back at zero, because each deal exits exactly once. Use this to find the thin years. IT CANNOT BE ADDED DOWN: each year is ranked separately, so the run in the middle in one year is a different run from the middle one in another.</t>
        </is>
      </c>
    </row>
    <row r="8" ht="15" customHeight="1" s="25">
      <c r="B8" s="50" t="inlineStr">
        <is>
          <t>2. How much has arrived BY the end of each year</t>
        </is>
      </c>
    </row>
    <row r="9" ht="45.75" customHeight="1" s="25">
      <c r="B9" s="29" t="inlineStr">
        <is>
          <t>The planning view, and the one to use if you want to know what to expect by a given year. Each simulated future is added up first and the futures are then ranked, so every figure is a real total that a real future reached. This one IS safe to read down.</t>
        </is>
      </c>
    </row>
    <row r="11" ht="15" customHeight="1" s="25">
      <c r="B11" s="50" t="inlineStr">
        <is>
          <t>3. Lifetime totals</t>
        </is>
      </c>
    </row>
    <row r="12" ht="45.75" customHeight="1" s="25">
      <c r="B12" s="29" t="inlineStr">
        <is>
          <t>Bad run, typical, average and good run, each with total received, profit against the FULL commitment, and the multiple. The last row of panel 2 should tie to this exactly. If it does not, something is wrong.</t>
        </is>
      </c>
    </row>
    <row r="14" ht="15" customHeight="1" s="25">
      <c r="B14" s="50" t="inlineStr">
        <is>
          <t>4. Glossary</t>
        </is>
      </c>
    </row>
    <row r="15" ht="45.75" customHeight="1" s="25">
      <c r="B15" s="29" t="inlineStr">
        <is>
          <t>Plain definitions of every column, including why the median matters more than the average when outcomes follow a power law.</t>
        </is>
      </c>
    </row>
    <row r="17" ht="17" customHeight="1" s="25">
      <c r="B17" s="28" t="inlineStr">
        <is>
          <t>One check worth running</t>
        </is>
      </c>
    </row>
    <row r="18" ht="45.75" customHeight="1" s="25">
      <c r="B18" s="29" t="inlineStr">
        <is>
          <t>Ask the tool whether it can actually execute code. If it cannot, it must not give you a median or percentiles, because producing those requires running the simulation. A tool that hands you a median without being able to compute one has invented it, and the error always runs optimistic.</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8" customWidth="1" style="25" min="1" max="1"/>
    <col width="20" customWidth="1" style="25" min="2" max="2"/>
    <col width="62" customWidth="1" style="25" min="3" max="3"/>
  </cols>
  <sheetData>
    <row r="1">
      <c r="A1" s="51" t="inlineStr">
        <is>
          <t>You  ·  the plan these numbers are for</t>
        </is>
      </c>
    </row>
    <row r="2">
      <c r="A2" s="54" t="inlineStr">
        <is>
          <t>Field</t>
        </is>
      </c>
      <c r="B2" s="54" t="inlineStr">
        <is>
          <t>Your number</t>
        </is>
      </c>
      <c r="C2" s="54" t="inlineStr">
        <is>
          <t>What it means</t>
        </is>
      </c>
    </row>
    <row r="3">
      <c r="A3" s="52" t="inlineStr">
        <is>
          <t>Birth year</t>
        </is>
      </c>
      <c r="B3" s="53" t="n">
        <v>1975</v>
      </c>
      <c r="C3" s="55" t="inlineStr">
        <is>
          <t>Ages are worked out from this, so the sheet does not go stale each birthday.</t>
        </is>
      </c>
    </row>
    <row r="4">
      <c r="A4" s="52" t="inlineStr">
        <is>
          <t>Planned stop work year</t>
        </is>
      </c>
      <c r="B4" s="53" t="n">
        <v>2040</v>
      </c>
      <c r="C4" s="55" t="inlineStr">
        <is>
          <t>The app can move this without you editing the sheet.</t>
        </is>
      </c>
    </row>
    <row r="5">
      <c r="A5" s="52" t="inlineStr">
        <is>
          <t>Plan to age</t>
        </is>
      </c>
      <c r="B5" s="53" t="n">
        <v>92</v>
      </c>
      <c r="C5" s="55" t="inlineStr">
        <is>
          <t>How far out to model. Not a prediction about anybody.</t>
        </is>
      </c>
    </row>
    <row r="6">
      <c r="A6" s="52" t="inlineStr">
        <is>
          <t>Annual spend target</t>
        </is>
      </c>
      <c r="B6" s="56" t="n">
        <v>180000</v>
      </c>
      <c r="C6" s="55" t="inlineStr">
        <is>
          <t>Today's money. What a good year looks like.</t>
        </is>
      </c>
    </row>
    <row r="7">
      <c r="A7" s="52" t="inlineStr">
        <is>
          <t>Floor spend (must-have)</t>
        </is>
      </c>
      <c r="B7" s="56" t="n">
        <v>120000</v>
      </c>
      <c r="C7" s="55" t="inlineStr">
        <is>
          <t>Today's money. What you will not go below.</t>
        </is>
      </c>
    </row>
    <row r="8">
      <c r="A8" s="52" t="inlineStr">
        <is>
          <t>Inflation until stop</t>
        </is>
      </c>
      <c r="B8" s="57" t="n">
        <v>0.035</v>
      </c>
      <c r="C8" s="55" t="inlineStr">
        <is>
          <t>Type 3.5% or 0.035, either reads the same.</t>
        </is>
      </c>
    </row>
    <row r="9">
      <c r="A9" s="52" t="inlineStr">
        <is>
          <t>Inflation after stop</t>
        </is>
      </c>
      <c r="B9" s="57" t="n">
        <v>0.03</v>
      </c>
      <c r="C9" s="55" t="inlineStr"/>
    </row>
    <row r="10">
      <c r="A10" s="52" t="inlineStr">
        <is>
          <t>Benefit start age</t>
        </is>
      </c>
      <c r="B10" s="53" t="n">
        <v>67</v>
      </c>
      <c r="C10" s="55" t="inlineStr">
        <is>
          <t>Social Security, a state pension, whatever applies.</t>
        </is>
      </c>
    </row>
    <row r="11">
      <c r="A11" s="52" t="inlineStr">
        <is>
          <t>Estimated annual benefit</t>
        </is>
      </c>
      <c r="B11" s="56" t="n">
        <v>40000</v>
      </c>
      <c r="C11" s="55" t="inlineStr">
        <is>
          <t>Today's money, at the age above.</t>
        </is>
      </c>
    </row>
    <row r="13">
      <c r="A13" s="55" t="inlineStr">
        <is>
          <t>Leave anything blank and the app uses its own assumption, and says on screen that it did.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2" customWidth="1" style="25" min="1" max="1"/>
    <col width="14" customWidth="1" style="25" min="2" max="2"/>
    <col width="13" customWidth="1" style="25" min="3" max="3"/>
    <col width="24" customWidth="1" style="25" min="4" max="4"/>
    <col width="14" customWidth="1" style="25" min="5" max="5"/>
    <col width="14" customWidth="1" style="25" min="6" max="6"/>
    <col width="10" customWidth="1" style="25" min="7" max="7"/>
    <col width="18" customWidth="1" style="25" min="8" max="8"/>
    <col width="9" customWidth="1" style="25" min="9" max="9"/>
    <col width="12" customWidth="1" style="25" min="10" max="10"/>
  </cols>
  <sheetData>
    <row r="1">
      <c r="A1" s="51" t="inlineStr">
        <is>
          <t>Balances  ·  everything that is not itemised on Positions</t>
        </is>
      </c>
    </row>
    <row r="2">
      <c r="A2" s="54" t="inlineStr">
        <is>
          <t>Account</t>
        </is>
      </c>
      <c r="B2" s="54" t="inlineStr">
        <is>
          <t>Account type</t>
        </is>
      </c>
      <c r="C2" s="54" t="inlineStr">
        <is>
          <t>Sleeve</t>
        </is>
      </c>
      <c r="D2" s="54" t="inlineStr">
        <is>
          <t>Label</t>
        </is>
      </c>
      <c r="E2" s="54" t="inlineStr">
        <is>
          <t>Value</t>
        </is>
      </c>
      <c r="F2" s="54" t="inlineStr">
        <is>
          <t>Cost basis</t>
        </is>
      </c>
      <c r="G2" s="54" t="inlineStr">
        <is>
          <t>Yield %</t>
        </is>
      </c>
      <c r="H2" s="54" t="inlineStr">
        <is>
          <t>Expected return %</t>
        </is>
      </c>
      <c r="I2" s="54" t="inlineStr">
        <is>
          <t>Vol %</t>
        </is>
      </c>
      <c r="J2" s="54" t="inlineStr">
        <is>
          <t>As of</t>
        </is>
      </c>
    </row>
    <row r="3">
      <c r="A3" s="53" t="inlineStr">
        <is>
          <t>Fidelity 401k</t>
        </is>
      </c>
      <c r="B3" s="53" t="inlineStr">
        <is>
          <t>401k</t>
        </is>
      </c>
      <c r="C3" s="53" t="inlineStr">
        <is>
          <t>Growth</t>
        </is>
      </c>
      <c r="D3" s="53" t="inlineStr">
        <is>
          <t>Total market index</t>
        </is>
      </c>
      <c r="E3" s="56" t="n">
        <v>1400000</v>
      </c>
      <c r="F3" s="56" t="n">
        <v>900000</v>
      </c>
      <c r="G3" s="57" t="n"/>
      <c r="H3" s="57" t="n">
        <v>0.08</v>
      </c>
      <c r="I3" s="57" t="n">
        <v>0.16</v>
      </c>
      <c r="J3" s="53" t="inlineStr">
        <is>
          <t>2026-09-30</t>
        </is>
      </c>
    </row>
    <row r="4">
      <c r="A4" s="53" t="inlineStr">
        <is>
          <t>Fidelity 401k</t>
        </is>
      </c>
      <c r="B4" s="53" t="inlineStr">
        <is>
          <t>401k</t>
        </is>
      </c>
      <c r="C4" s="53" t="inlineStr">
        <is>
          <t>Bonds</t>
        </is>
      </c>
      <c r="D4" s="53" t="inlineStr">
        <is>
          <t>Bond fund</t>
        </is>
      </c>
      <c r="E4" s="56" t="n">
        <v>300000</v>
      </c>
      <c r="F4" s="56" t="n">
        <v>300000</v>
      </c>
      <c r="G4" s="57" t="n">
        <v>0.03</v>
      </c>
      <c r="H4" s="57" t="n">
        <v>0.03</v>
      </c>
      <c r="I4" s="57" t="n">
        <v>0.06</v>
      </c>
      <c r="J4" s="53" t="inlineStr">
        <is>
          <t>2026-09-30</t>
        </is>
      </c>
    </row>
    <row r="5">
      <c r="A5" s="53" t="inlineStr">
        <is>
          <t>Schwab taxable</t>
        </is>
      </c>
      <c r="B5" s="53" t="inlineStr">
        <is>
          <t>Taxable</t>
        </is>
      </c>
      <c r="C5" s="53" t="inlineStr">
        <is>
          <t>Income</t>
        </is>
      </c>
      <c r="D5" s="53" t="inlineStr">
        <is>
          <t>Credit fund</t>
        </is>
      </c>
      <c r="E5" s="56" t="n">
        <v>500000</v>
      </c>
      <c r="F5" s="56" t="n">
        <v>480000</v>
      </c>
      <c r="G5" s="57" t="n">
        <v>0.06</v>
      </c>
      <c r="H5" s="57" t="n"/>
      <c r="I5" s="57" t="n"/>
      <c r="J5" s="53" t="inlineStr">
        <is>
          <t>2026-09-30</t>
        </is>
      </c>
    </row>
    <row r="6">
      <c r="A6" s="53" t="inlineStr">
        <is>
          <t>Equity Trust SDIRA</t>
        </is>
      </c>
      <c r="B6" s="53" t="inlineStr">
        <is>
          <t>SDIRA</t>
        </is>
      </c>
      <c r="C6" s="53" t="inlineStr">
        <is>
          <t>Cash</t>
        </is>
      </c>
      <c r="D6" s="53" t="inlineStr">
        <is>
          <t>Money market</t>
        </is>
      </c>
      <c r="E6" s="56" t="n">
        <v>200000</v>
      </c>
      <c r="F6" s="56" t="n">
        <v>200000</v>
      </c>
      <c r="G6" s="57" t="n">
        <v>0.045</v>
      </c>
      <c r="H6" s="57" t="n"/>
      <c r="I6" s="57" t="n"/>
      <c r="J6" s="53" t="inlineStr">
        <is>
          <t>2026-09-30</t>
        </is>
      </c>
    </row>
    <row r="8">
      <c r="A8" s="55" t="inlineStr">
        <is>
          <t>ONE ROW PER ACCOUNT AND SLEEVE, not per ticker. Three index funds in one 401k are one row.</t>
        </is>
      </c>
    </row>
    <row r="9">
      <c r="A9" s="55" t="inlineStr">
        <is>
          <t>Account must match the Account column on Positions exactly, or the two cannot be tied together.</t>
        </is>
      </c>
    </row>
    <row r="10">
      <c r="A10" s="55" t="inlineStr">
        <is>
          <t>Sleeve: Growth, Income, Bonds or Cash. Anything else is treated as Growth and the app says so.</t>
        </is>
      </c>
    </row>
    <row r="11">
      <c r="A11" s="55" t="inlineStr">
        <is>
          <t>Yield, return and vol are optional. Blank means "use the model’s assumption", which it names on screen.</t>
        </is>
      </c>
    </row>
    <row r="12">
      <c r="A12" s="55" t="inlineStr">
        <is>
          <t>Do NOT list private deals here. They belong on Positions, and counting them twice would spend the same money twice.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4" customWidth="1" style="25" min="1" max="1"/>
    <col width="14" customWidth="1" style="25" min="2" max="2"/>
    <col width="18" customWidth="1" style="25" min="3" max="3"/>
    <col width="9" customWidth="1" style="25" min="4" max="4"/>
    <col width="14" customWidth="1" style="25" min="5" max="5"/>
    <col width="14" customWidth="1" style="25" min="6" max="6"/>
    <col width="12" customWidth="1" style="25" min="7" max="7"/>
    <col width="14" customWidth="1" style="25" min="8" max="8"/>
  </cols>
  <sheetData>
    <row r="1">
      <c r="A1" s="51" t="inlineStr">
        <is>
          <t>Property  · an asset, a debt, an income stream and a dated event, all at once</t>
        </is>
      </c>
    </row>
    <row r="2">
      <c r="A2" s="54" t="inlineStr">
        <is>
          <t>Property</t>
        </is>
      </c>
      <c r="B2" s="54" t="inlineStr">
        <is>
          <t>Value</t>
        </is>
      </c>
      <c r="C2" s="54" t="inlineStr">
        <is>
          <t>Mortgage balance</t>
        </is>
      </c>
      <c r="D2" s="54" t="inlineStr">
        <is>
          <t>Rate %</t>
        </is>
      </c>
      <c r="E2" s="54" t="inlineStr">
        <is>
          <t>Payment / mo</t>
        </is>
      </c>
      <c r="F2" s="54" t="inlineStr">
        <is>
          <t>Net rent / mo</t>
        </is>
      </c>
      <c r="G2" s="54" t="inlineStr">
        <is>
          <t>Sell in year</t>
        </is>
      </c>
      <c r="H2" s="54" t="inlineStr">
        <is>
          <t>Cost to sell %</t>
        </is>
      </c>
    </row>
    <row r="3">
      <c r="A3" s="53" t="inlineStr">
        <is>
          <t>Main house</t>
        </is>
      </c>
      <c r="B3" s="56" t="n">
        <v>1200000</v>
      </c>
      <c r="C3" s="56" t="n">
        <v>400000</v>
      </c>
      <c r="D3" s="57" t="n">
        <v>0.035</v>
      </c>
      <c r="E3" s="56" t="n">
        <v>2600</v>
      </c>
      <c r="F3" s="56" t="n">
        <v>0</v>
      </c>
      <c r="G3" s="53" t="n">
        <v>2050</v>
      </c>
      <c r="H3" s="57" t="n">
        <v>0.06</v>
      </c>
    </row>
    <row r="4">
      <c r="A4" s="53" t="inlineStr">
        <is>
          <t>Rental</t>
        </is>
      </c>
      <c r="B4" s="56" t="n">
        <v>600000</v>
      </c>
      <c r="C4" s="56" t="n">
        <v>250000</v>
      </c>
      <c r="D4" s="57" t="n">
        <v>0.05</v>
      </c>
      <c r="E4" s="56" t="n">
        <v>1600</v>
      </c>
      <c r="F4" s="56" t="n">
        <v>2200</v>
      </c>
      <c r="G4" s="53" t="n">
        <v>2055</v>
      </c>
      <c r="H4" s="57" t="n">
        <v>0.06</v>
      </c>
    </row>
    <row r="6">
      <c r="A6" s="55" t="inlineStr">
        <is>
          <t>The sale is counted NET: value, less the cost to sell, less the mortgage still owed.</t>
        </is>
      </c>
    </row>
    <row r="7">
      <c r="A7" s="55" t="inlineStr">
        <is>
          <t>Leave Sell in year blank for somewhere you do not plan to sell. It still counts as an asset.</t>
        </is>
      </c>
    </row>
    <row r="8">
      <c r="A8" s="55" t="inlineStr">
        <is>
          <t>Cost to sell defaults to 6% if you leave it blank.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style="25" min="1" max="1"/>
    <col width="14" customWidth="1" style="25" min="2" max="2"/>
    <col width="10" customWidth="1" style="25" min="3" max="3"/>
    <col width="10" customWidth="1" style="25" min="4" max="4"/>
    <col width="12" customWidth="1" style="25" min="5" max="5"/>
    <col width="20" customWidth="1" style="25" min="6" max="6"/>
  </cols>
  <sheetData>
    <row r="1">
      <c r="A1" s="51" t="inlineStr">
        <is>
          <t>Cashflows  · money in or out, year after year</t>
        </is>
      </c>
    </row>
    <row r="2">
      <c r="A2" s="54" t="inlineStr">
        <is>
          <t>Label</t>
        </is>
      </c>
      <c r="B2" s="54" t="inlineStr">
        <is>
          <t>Amount / yr</t>
        </is>
      </c>
      <c r="C2" s="54" t="inlineStr">
        <is>
          <t>Starts</t>
        </is>
      </c>
      <c r="D2" s="54" t="inlineStr">
        <is>
          <t>Ends</t>
        </is>
      </c>
      <c r="E2" s="54" t="inlineStr">
        <is>
          <t>Inflates?</t>
        </is>
      </c>
      <c r="F2" s="54" t="inlineStr">
        <is>
          <t>Account</t>
        </is>
      </c>
    </row>
    <row r="3">
      <c r="A3" s="53" t="inlineStr">
        <is>
          <t>Consulting</t>
        </is>
      </c>
      <c r="B3" s="56" t="n">
        <v>60000</v>
      </c>
      <c r="C3" s="53" t="n">
        <v>2041</v>
      </c>
      <c r="D3" s="53" t="n">
        <v>2045</v>
      </c>
      <c r="E3" s="53" t="inlineStr">
        <is>
          <t>yes</t>
        </is>
      </c>
      <c r="F3" s="53" t="inlineStr">
        <is>
          <t>Schwab taxable</t>
        </is>
      </c>
    </row>
    <row r="4">
      <c r="A4" s="53" t="inlineStr">
        <is>
          <t>Pension</t>
        </is>
      </c>
      <c r="B4" s="56" t="n">
        <v>24000</v>
      </c>
      <c r="C4" s="53" t="n">
        <v>2042</v>
      </c>
      <c r="D4" s="53" t="n"/>
      <c r="E4" s="53" t="inlineStr">
        <is>
          <t>yes</t>
        </is>
      </c>
      <c r="F4" s="53" t="inlineStr"/>
    </row>
    <row r="6">
      <c r="A6" s="55" t="inlineStr">
        <is>
          <t>LEAVE Ends BLANK for something that runs for the rest of the plan, like a pension.</t>
        </is>
      </c>
    </row>
    <row r="7">
      <c r="A7" s="55" t="inlineStr">
        <is>
          <t>Negative amounts are money going out.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0" customWidth="1" style="25" min="1" max="1"/>
    <col width="10" customWidth="1" style="25" min="2" max="2"/>
    <col width="16" customWidth="1" style="25" min="3" max="3"/>
    <col width="22" customWidth="1" style="25" min="4" max="4"/>
  </cols>
  <sheetData>
    <row r="1">
      <c r="A1" s="51" t="inlineStr">
        <is>
          <t>Events  · the one-offs</t>
        </is>
      </c>
    </row>
    <row r="2">
      <c r="A2" s="54" t="inlineStr">
        <is>
          <t>Label</t>
        </is>
      </c>
      <c r="B2" s="54" t="inlineStr">
        <is>
          <t>Year</t>
        </is>
      </c>
      <c r="C2" s="54" t="inlineStr">
        <is>
          <t>Amount</t>
        </is>
      </c>
      <c r="D2" s="54" t="inlineStr">
        <is>
          <t>Account</t>
        </is>
      </c>
    </row>
    <row r="3">
      <c r="A3" s="53" t="inlineStr">
        <is>
          <t>Inheritance</t>
        </is>
      </c>
      <c r="B3" s="53" t="n">
        <v>2047</v>
      </c>
      <c r="C3" s="58" t="n">
        <v>300000</v>
      </c>
      <c r="D3" s="53" t="inlineStr">
        <is>
          <t>Schwab taxable</t>
        </is>
      </c>
    </row>
    <row r="4">
      <c r="A4" s="53" t="inlineStr">
        <is>
          <t>New roof</t>
        </is>
      </c>
      <c r="B4" s="53" t="n">
        <v>2043</v>
      </c>
      <c r="C4" s="58" t="n">
        <v>-45000</v>
      </c>
      <c r="D4" s="53" t="inlineStr"/>
    </row>
    <row r="6">
      <c r="A6" s="55" t="inlineStr">
        <is>
          <t>POSITIVE is money arriving, NEGATIVE is money going out. A bill raises what that year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2026-09-23T16:18:35Z</dcterms:created>
  <dcterms:modified xmlns:dcterms="http://purl.org/dc/terms/" xmlns:xsi="http://www.w3.org/2001/XMLSchema-instance" xsi:type="dcterms:W3CDTF">2026-10-02T05:46:41Z</dcterms:modified>
  <cp:revision>0</cp:revision>
</cp:coreProperties>
</file>